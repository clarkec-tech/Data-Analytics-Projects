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85AABA2E20667B8/Documents/"/>
    </mc:Choice>
  </mc:AlternateContent>
  <xr:revisionPtr revIDLastSave="2" documentId="8_{CF478E25-A083-4F73-B0FA-B7A20F253C5F}" xr6:coauthVersionLast="47" xr6:coauthVersionMax="47" xr10:uidLastSave="{658FB034-828F-418A-812E-788FB033A3B3}"/>
  <workbookProtection lockStructure="1"/>
  <bookViews>
    <workbookView xWindow="-108" yWindow="-108" windowWidth="23256" windowHeight="13896" xr2:uid="{30B4859E-3EAB-4FD0-9DE1-40BB4E5630E4}"/>
  </bookViews>
  <sheets>
    <sheet name="Mortgage Payment Calculator" sheetId="1" r:id="rId1"/>
  </sheets>
  <definedNames>
    <definedName name="Amortization_Schedule">'Mortgage Payment Calculator'!$H$3:$L$19</definedName>
    <definedName name="Down_Pymt.">'Mortgage Payment Calculator'!$D$7</definedName>
    <definedName name="Financial_Tools">'Mortgage Payment Calculator'!$B$2:$M$23</definedName>
    <definedName name="Interest_Schedule">'Mortgage Payment Calculator'!$C$9:$F$22</definedName>
    <definedName name="Loan_Amount">'Mortgage Payment Calculator'!$D$8</definedName>
    <definedName name="Monthly_Payment">'Mortgage Payment Calculator'!$F$6</definedName>
    <definedName name="Mortgage_Payment">'Mortgage Payment Calculator'!$C$3:$F$8</definedName>
    <definedName name="Price">'Mortgage Payment Calculator'!$D$6</definedName>
    <definedName name="Rate">'Mortgage Payment Calculator'!$F$4</definedName>
    <definedName name="Term">'Mortgage Payment Calculator'!$F$5</definedName>
    <definedName name="Total_Cost">'Mortgage Payment Calculator'!$F$8</definedName>
    <definedName name="Total_Interest">'Mortgage Payment Calculator'!$F$7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D8" i="1"/>
  <c r="F6" i="1" s="1"/>
  <c r="F7" i="1" s="1"/>
  <c r="F8" i="1" s="1"/>
  <c r="F11" i="1" s="1"/>
  <c r="D4" i="1"/>
  <c r="J8" i="1" l="1"/>
  <c r="I9" i="1" s="1"/>
  <c r="J18" i="1"/>
  <c r="I19" i="1" s="1"/>
  <c r="J16" i="1"/>
  <c r="I17" i="1" s="1"/>
  <c r="J7" i="1"/>
  <c r="I8" i="1" s="1"/>
  <c r="J19" i="1"/>
  <c r="J17" i="1"/>
  <c r="I18" i="1" s="1"/>
  <c r="J9" i="1"/>
  <c r="I10" i="1" s="1"/>
  <c r="J11" i="1"/>
  <c r="I12" i="1" s="1"/>
  <c r="I5" i="1"/>
  <c r="J15" i="1"/>
  <c r="I16" i="1" s="1"/>
  <c r="K16" i="1" s="1"/>
  <c r="L16" i="1" s="1"/>
  <c r="J6" i="1"/>
  <c r="I7" i="1" s="1"/>
  <c r="J14" i="1"/>
  <c r="J13" i="1"/>
  <c r="J12" i="1"/>
  <c r="J5" i="1"/>
  <c r="I6" i="1" s="1"/>
  <c r="J10" i="1"/>
  <c r="D11" i="1"/>
  <c r="E11" i="1"/>
  <c r="K7" i="1" l="1"/>
  <c r="L7" i="1" s="1"/>
  <c r="K19" i="1"/>
  <c r="L19" i="1" s="1"/>
  <c r="K9" i="1"/>
  <c r="L9" i="1" s="1"/>
  <c r="K18" i="1"/>
  <c r="L18" i="1" s="1"/>
  <c r="K8" i="1"/>
  <c r="L8" i="1" s="1"/>
  <c r="K17" i="1"/>
  <c r="L17" i="1" s="1"/>
  <c r="K10" i="1"/>
  <c r="L10" i="1" s="1"/>
  <c r="I11" i="1"/>
  <c r="K6" i="1"/>
  <c r="L6" i="1" s="1"/>
  <c r="K12" i="1"/>
  <c r="L12" i="1" s="1"/>
  <c r="I13" i="1"/>
  <c r="I14" i="1"/>
  <c r="I15" i="1"/>
  <c r="K15" i="1" s="1"/>
  <c r="L15" i="1" s="1"/>
  <c r="K5" i="1"/>
  <c r="L5" i="1" s="1"/>
  <c r="K13" i="1" l="1"/>
  <c r="L13" i="1" s="1"/>
  <c r="K14" i="1"/>
  <c r="L14" i="1" s="1"/>
  <c r="K11" i="1"/>
  <c r="L11" i="1" s="1"/>
  <c r="L20" i="1" l="1"/>
  <c r="K20" i="1"/>
  <c r="L22" i="1" s="1"/>
</calcChain>
</file>

<file path=xl/sharedStrings.xml><?xml version="1.0" encoding="utf-8"?>
<sst xmlns="http://schemas.openxmlformats.org/spreadsheetml/2006/main" count="27" uniqueCount="21">
  <si>
    <t xml:space="preserve"> </t>
  </si>
  <si>
    <t>Mortgage Payment Calculator</t>
  </si>
  <si>
    <t>Date</t>
  </si>
  <si>
    <t>Item</t>
  </si>
  <si>
    <t>Price</t>
  </si>
  <si>
    <t>Down Pymt.</t>
  </si>
  <si>
    <t>Loan Amount</t>
  </si>
  <si>
    <t>Rate</t>
  </si>
  <si>
    <t>Term</t>
  </si>
  <si>
    <t>Monthly Payment</t>
  </si>
  <si>
    <t>Total Interest</t>
  </si>
  <si>
    <t>Total Cost</t>
  </si>
  <si>
    <t>House</t>
  </si>
  <si>
    <t>Varying Interest Rate Schedule</t>
  </si>
  <si>
    <t>Amortization Schedule</t>
  </si>
  <si>
    <t>Year</t>
  </si>
  <si>
    <t>Beginning Balance</t>
  </si>
  <si>
    <t>Ending Balance</t>
  </si>
  <si>
    <t>Interest Paid</t>
  </si>
  <si>
    <t>Subtotal</t>
  </si>
  <si>
    <t>Paid on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</si>
</sst>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-409]d\-mmm\-yyyy;@"/>
    <numFmt numFmtId="165" formatCode="0.000%"/>
  </numFmts>
  <fonts count="2" x14ac:knownFonts="1"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theme="5"/>
      </left>
      <right style="thin">
        <color theme="5"/>
      </right>
      <top style="medium">
        <color theme="5"/>
      </top>
      <bottom/>
      <diagonal/>
    </border>
    <border>
      <left style="thin">
        <color theme="5"/>
      </left>
      <right style="thin">
        <color theme="5"/>
      </right>
      <top style="medium">
        <color theme="5"/>
      </top>
      <bottom/>
      <diagonal/>
    </border>
    <border>
      <left style="thin">
        <color theme="5"/>
      </left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medium">
        <color theme="5"/>
      </right>
      <top/>
      <bottom/>
      <diagonal/>
    </border>
    <border>
      <left style="medium">
        <color theme="5"/>
      </left>
      <right style="thin">
        <color theme="5"/>
      </right>
      <top/>
      <bottom style="medium">
        <color theme="5"/>
      </bottom>
      <diagonal/>
    </border>
    <border>
      <left style="thin">
        <color theme="5"/>
      </left>
      <right style="thin">
        <color theme="5"/>
      </right>
      <top/>
      <bottom style="medium">
        <color theme="5"/>
      </bottom>
      <diagonal/>
    </border>
    <border>
      <left style="thin">
        <color theme="5"/>
      </left>
      <right style="medium">
        <color theme="5"/>
      </right>
      <top/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medium">
        <color theme="5"/>
      </right>
      <top style="thin">
        <color theme="5"/>
      </top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 style="medium">
        <color theme="5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medium">
        <color theme="5"/>
      </top>
      <bottom style="thin">
        <color theme="5"/>
      </bottom>
      <diagonal/>
    </border>
    <border>
      <left style="thin">
        <color theme="5"/>
      </left>
      <right style="medium">
        <color theme="5"/>
      </right>
      <top style="medium">
        <color theme="5"/>
      </top>
      <bottom style="thin">
        <color theme="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0" xfId="0" applyFill="1"/>
    <xf numFmtId="0" fontId="0" fillId="2" borderId="17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1" xfId="0" applyFill="1" applyBorder="1"/>
    <xf numFmtId="8" fontId="0" fillId="2" borderId="10" xfId="0" applyNumberFormat="1" applyFill="1" applyBorder="1"/>
    <xf numFmtId="8" fontId="0" fillId="2" borderId="12" xfId="0" applyNumberFormat="1" applyFill="1" applyBorder="1"/>
    <xf numFmtId="8" fontId="0" fillId="2" borderId="0" xfId="0" applyNumberFormat="1" applyFill="1"/>
    <xf numFmtId="0" fontId="0" fillId="2" borderId="4" xfId="0" applyFill="1" applyBorder="1"/>
    <xf numFmtId="40" fontId="0" fillId="2" borderId="5" xfId="0" applyNumberFormat="1" applyFill="1" applyBorder="1"/>
    <xf numFmtId="40" fontId="0" fillId="2" borderId="6" xfId="0" applyNumberFormat="1" applyFill="1" applyBorder="1"/>
    <xf numFmtId="8" fontId="0" fillId="2" borderId="5" xfId="0" applyNumberFormat="1" applyFill="1" applyBorder="1"/>
    <xf numFmtId="8" fontId="0" fillId="2" borderId="6" xfId="0" applyNumberFormat="1" applyFill="1" applyBorder="1"/>
    <xf numFmtId="165" fontId="0" fillId="2" borderId="4" xfId="0" applyNumberFormat="1" applyFill="1" applyBorder="1"/>
    <xf numFmtId="0" fontId="0" fillId="2" borderId="7" xfId="0" applyFill="1" applyBorder="1"/>
    <xf numFmtId="40" fontId="0" fillId="2" borderId="8" xfId="0" applyNumberFormat="1" applyFill="1" applyBorder="1"/>
    <xf numFmtId="40" fontId="0" fillId="2" borderId="9" xfId="0" applyNumberFormat="1" applyFill="1" applyBorder="1"/>
    <xf numFmtId="165" fontId="0" fillId="2" borderId="7" xfId="0" applyNumberForma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1" xfId="0" applyFill="1" applyBorder="1"/>
    <xf numFmtId="164" fontId="0" fillId="2" borderId="2" xfId="0" applyNumberFormat="1" applyFill="1" applyBorder="1"/>
    <xf numFmtId="0" fontId="0" fillId="2" borderId="2" xfId="0" applyFill="1" applyBorder="1"/>
    <xf numFmtId="0" fontId="0" fillId="2" borderId="5" xfId="0" applyFill="1" applyBorder="1"/>
    <xf numFmtId="8" fontId="0" fillId="2" borderId="8" xfId="0" applyNumberFormat="1" applyFill="1" applyBorder="1"/>
    <xf numFmtId="0" fontId="0" fillId="2" borderId="8" xfId="0" applyFill="1" applyBorder="1"/>
    <xf numFmtId="8" fontId="0" fillId="2" borderId="9" xfId="0" applyNumberFormat="1" applyFill="1" applyBorder="1"/>
    <xf numFmtId="0" fontId="0" fillId="2" borderId="21" xfId="0" applyFill="1" applyBorder="1" applyAlignment="1">
      <alignment horizontal="right"/>
    </xf>
    <xf numFmtId="0" fontId="0" fillId="2" borderId="22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1" fillId="2" borderId="0" xfId="1" applyFill="1" applyBorder="1" applyAlignment="1">
      <alignment horizontal="center" vertical="center"/>
    </xf>
    <xf numFmtId="0" fontId="0" fillId="2" borderId="5" xfId="0" applyFill="1" applyBorder="1" applyAlignment="1" applyProtection="1">
      <alignment horizontal="right"/>
      <protection locked="0"/>
    </xf>
    <xf numFmtId="8" fontId="0" fillId="2" borderId="5" xfId="0" applyNumberFormat="1" applyFill="1" applyBorder="1" applyProtection="1">
      <protection locked="0"/>
    </xf>
    <xf numFmtId="165" fontId="0" fillId="2" borderId="3" xfId="0" applyNumberFormat="1" applyFill="1" applyBorder="1" applyProtection="1">
      <protection locked="0"/>
    </xf>
    <xf numFmtId="0" fontId="0" fillId="2" borderId="6" xfId="0" applyFill="1" applyBorder="1" applyProtection="1">
      <protection locked="0"/>
    </xf>
  </cellXfs>
  <cellStyles count="2">
    <cellStyle name="Normal" xfId="0" builtinId="0"/>
    <cellStyle name="Title" xfId="1" builtinId="1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D3F8-4AA1-42F7-AF6E-5407C8EC6706}">
  <sheetPr>
    <pageSetUpPr fitToPage="1"/>
  </sheetPr>
  <dimension ref="A1:M1000"/>
  <sheetViews>
    <sheetView tabSelected="1" workbookViewId="0">
      <selection activeCell="E25" sqref="E25"/>
    </sheetView>
  </sheetViews>
  <sheetFormatPr defaultRowHeight="13.8" x14ac:dyDescent="0.25"/>
  <cols>
    <col min="1" max="2" width="1.296875" customWidth="1"/>
    <col min="3" max="3" width="12.59765625" customWidth="1"/>
    <col min="4" max="6" width="16.59765625" customWidth="1"/>
    <col min="7" max="7" width="1.19921875" customWidth="1"/>
    <col min="8" max="8" width="6.59765625" customWidth="1"/>
    <col min="9" max="12" width="16.59765625" customWidth="1"/>
    <col min="13" max="13" width="1.296875" customWidth="1"/>
  </cols>
  <sheetData>
    <row r="1" spans="2:13" ht="8.25" customHeight="1" thickBot="1" x14ac:dyDescent="0.3"/>
    <row r="2" spans="2:13" ht="8.25" customHeight="1" thickTop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ht="14.25" customHeight="1" thickBot="1" x14ac:dyDescent="0.3">
      <c r="B3" s="4"/>
      <c r="C3" s="37" t="s">
        <v>1</v>
      </c>
      <c r="D3" s="37"/>
      <c r="E3" s="37"/>
      <c r="F3" s="37"/>
      <c r="G3" s="5"/>
      <c r="H3" s="37" t="s">
        <v>14</v>
      </c>
      <c r="I3" s="37"/>
      <c r="J3" s="37"/>
      <c r="K3" s="37"/>
      <c r="L3" s="37"/>
      <c r="M3" s="6"/>
    </row>
    <row r="4" spans="2:13" x14ac:dyDescent="0.25">
      <c r="B4" s="4"/>
      <c r="C4" s="27" t="s">
        <v>2</v>
      </c>
      <c r="D4" s="28">
        <f ca="1">NOW()</f>
        <v>45964.473730092592</v>
      </c>
      <c r="E4" s="29" t="s">
        <v>7</v>
      </c>
      <c r="F4" s="40">
        <v>3.875E-2</v>
      </c>
      <c r="G4" s="5"/>
      <c r="H4" s="7" t="s">
        <v>15</v>
      </c>
      <c r="I4" s="8" t="s">
        <v>16</v>
      </c>
      <c r="J4" s="8" t="s">
        <v>17</v>
      </c>
      <c r="K4" s="8" t="s">
        <v>20</v>
      </c>
      <c r="L4" s="9" t="s">
        <v>18</v>
      </c>
      <c r="M4" s="6"/>
    </row>
    <row r="5" spans="2:13" x14ac:dyDescent="0.25">
      <c r="B5" s="4"/>
      <c r="C5" s="14" t="s">
        <v>3</v>
      </c>
      <c r="D5" s="38" t="s">
        <v>12</v>
      </c>
      <c r="E5" s="30" t="s">
        <v>8</v>
      </c>
      <c r="F5" s="41">
        <v>15</v>
      </c>
      <c r="G5" s="5"/>
      <c r="H5" s="10">
        <v>1</v>
      </c>
      <c r="I5" s="11">
        <f>D8</f>
        <v>404000</v>
      </c>
      <c r="J5" s="11">
        <f>IF(H5&lt;=$F$5, PV($F$4/12, 12* ($F$5-H5), -$F$6), 0)</f>
        <v>383740.54903412808</v>
      </c>
      <c r="K5" s="11">
        <f>I5-J5</f>
        <v>20259.450965871918</v>
      </c>
      <c r="L5" s="12">
        <f>IF(I5 &gt; 0, 12 * $F$6 -K5, 0)</f>
        <v>15297.697055018922</v>
      </c>
      <c r="M5" s="6"/>
    </row>
    <row r="6" spans="2:13" x14ac:dyDescent="0.25">
      <c r="B6" s="4"/>
      <c r="C6" s="14" t="s">
        <v>4</v>
      </c>
      <c r="D6" s="39">
        <v>519000</v>
      </c>
      <c r="E6" s="30" t="s">
        <v>9</v>
      </c>
      <c r="F6" s="18">
        <f>-PMT(Rate/12, 12*Term, Loan_Amount)</f>
        <v>2963.09566840757</v>
      </c>
      <c r="G6" s="5"/>
      <c r="H6" s="14">
        <v>2</v>
      </c>
      <c r="I6" s="15">
        <f>J5</f>
        <v>383740.54903412808</v>
      </c>
      <c r="J6" s="15">
        <f t="shared" ref="J6:J19" si="0">IF(H6&lt;=$F$5, PV($F$4/12, 12* ($F$5-H6), -$F$6), 0)</f>
        <v>362681.95028636901</v>
      </c>
      <c r="K6" s="15">
        <f t="shared" ref="K6:K19" si="1">I6-J6</f>
        <v>21058.598747759068</v>
      </c>
      <c r="L6" s="16">
        <f t="shared" ref="L6:L19" si="2">IF(I6 &gt; 0, 12 * $F$6 -K6, 0)</f>
        <v>14498.549273131772</v>
      </c>
      <c r="M6" s="6"/>
    </row>
    <row r="7" spans="2:13" x14ac:dyDescent="0.25">
      <c r="B7" s="4"/>
      <c r="C7" s="14" t="s">
        <v>5</v>
      </c>
      <c r="D7" s="39">
        <v>115000</v>
      </c>
      <c r="E7" s="30" t="s">
        <v>10</v>
      </c>
      <c r="F7" s="18">
        <f>12 * Term * Monthly_Payment - Loan_Amount</f>
        <v>129357.22031336254</v>
      </c>
      <c r="G7" s="5"/>
      <c r="H7" s="14">
        <v>3</v>
      </c>
      <c r="I7" s="15">
        <f t="shared" ref="I7:I19" si="3">J6</f>
        <v>362681.95028636901</v>
      </c>
      <c r="J7" s="15">
        <f t="shared" si="0"/>
        <v>340792.68083053734</v>
      </c>
      <c r="K7" s="15">
        <f t="shared" si="1"/>
        <v>21889.269455831673</v>
      </c>
      <c r="L7" s="16">
        <f t="shared" si="2"/>
        <v>13667.878565059167</v>
      </c>
      <c r="M7" s="6"/>
    </row>
    <row r="8" spans="2:13" ht="14.4" thickBot="1" x14ac:dyDescent="0.3">
      <c r="B8" s="4"/>
      <c r="C8" s="20" t="s">
        <v>6</v>
      </c>
      <c r="D8" s="31">
        <f>Price-Down_Pymt.</f>
        <v>404000</v>
      </c>
      <c r="E8" s="32" t="s">
        <v>11</v>
      </c>
      <c r="F8" s="33">
        <f>Price + Total_Interest</f>
        <v>648357.22031336254</v>
      </c>
      <c r="G8" s="5"/>
      <c r="H8" s="14">
        <v>4</v>
      </c>
      <c r="I8" s="15">
        <f t="shared" si="3"/>
        <v>340792.68083053734</v>
      </c>
      <c r="J8" s="15">
        <f t="shared" si="0"/>
        <v>318039.97429725039</v>
      </c>
      <c r="K8" s="15">
        <f t="shared" si="1"/>
        <v>22752.706533286953</v>
      </c>
      <c r="L8" s="16">
        <f t="shared" si="2"/>
        <v>12804.441487603886</v>
      </c>
      <c r="M8" s="6"/>
    </row>
    <row r="9" spans="2:13" ht="20.25" customHeight="1" thickBot="1" x14ac:dyDescent="0.3">
      <c r="B9" s="4"/>
      <c r="C9" s="37" t="s">
        <v>13</v>
      </c>
      <c r="D9" s="37"/>
      <c r="E9" s="37"/>
      <c r="F9" s="37"/>
      <c r="G9" s="5"/>
      <c r="H9" s="14">
        <v>5</v>
      </c>
      <c r="I9" s="15">
        <f t="shared" si="3"/>
        <v>318039.97429725039</v>
      </c>
      <c r="J9" s="15">
        <f t="shared" si="0"/>
        <v>294389.77182546526</v>
      </c>
      <c r="K9" s="15">
        <f t="shared" si="1"/>
        <v>23650.202471785131</v>
      </c>
      <c r="L9" s="16">
        <f t="shared" si="2"/>
        <v>11906.945549105709</v>
      </c>
      <c r="M9" s="6"/>
    </row>
    <row r="10" spans="2:13" ht="17.25" customHeight="1" x14ac:dyDescent="0.25">
      <c r="B10" s="4"/>
      <c r="C10" s="34" t="s">
        <v>7</v>
      </c>
      <c r="D10" s="35" t="s">
        <v>9</v>
      </c>
      <c r="E10" s="35" t="s">
        <v>10</v>
      </c>
      <c r="F10" s="36" t="s">
        <v>11</v>
      </c>
      <c r="G10" s="5"/>
      <c r="H10" s="14">
        <v>6</v>
      </c>
      <c r="I10" s="15">
        <f t="shared" si="3"/>
        <v>294389.77182546526</v>
      </c>
      <c r="J10" s="15">
        <f t="shared" si="0"/>
        <v>269806.67107926903</v>
      </c>
      <c r="K10" s="15">
        <f t="shared" si="1"/>
        <v>24583.100746196229</v>
      </c>
      <c r="L10" s="16">
        <f t="shared" si="2"/>
        <v>10974.047274694611</v>
      </c>
      <c r="M10" s="6"/>
    </row>
    <row r="11" spans="2:13" x14ac:dyDescent="0.25">
      <c r="B11" s="4"/>
      <c r="C11" s="14"/>
      <c r="D11" s="17">
        <f>F6</f>
        <v>2963.09566840757</v>
      </c>
      <c r="E11" s="17">
        <f>F7</f>
        <v>129357.22031336254</v>
      </c>
      <c r="F11" s="18">
        <f>F8</f>
        <v>648357.22031336254</v>
      </c>
      <c r="G11" s="5"/>
      <c r="H11" s="14">
        <v>7</v>
      </c>
      <c r="I11" s="15">
        <f t="shared" si="3"/>
        <v>269806.67107926903</v>
      </c>
      <c r="J11" s="15">
        <f t="shared" si="0"/>
        <v>244253.87325360146</v>
      </c>
      <c r="K11" s="15">
        <f t="shared" si="1"/>
        <v>25552.797825667571</v>
      </c>
      <c r="L11" s="16">
        <f t="shared" si="2"/>
        <v>10004.350195223269</v>
      </c>
      <c r="M11" s="6"/>
    </row>
    <row r="12" spans="2:13" x14ac:dyDescent="0.25">
      <c r="B12" s="4"/>
      <c r="C12" s="19">
        <v>0.03</v>
      </c>
      <c r="D12" s="15">
        <f t="dataTable" ref="D12:F22" dt2D="0" dtr="0" r1="F4"/>
        <v>2789.9498267230802</v>
      </c>
      <c r="E12" s="15">
        <v>98190.968810154416</v>
      </c>
      <c r="F12" s="16">
        <v>617190.96881015436</v>
      </c>
      <c r="G12" s="5"/>
      <c r="H12" s="14">
        <v>8</v>
      </c>
      <c r="I12" s="15">
        <f t="shared" si="3"/>
        <v>244253.87325360146</v>
      </c>
      <c r="J12" s="15">
        <f t="shared" si="0"/>
        <v>217693.12798958173</v>
      </c>
      <c r="K12" s="15">
        <f t="shared" si="1"/>
        <v>26560.74526401973</v>
      </c>
      <c r="L12" s="16">
        <f t="shared" si="2"/>
        <v>8996.4027568711099</v>
      </c>
      <c r="M12" s="6"/>
    </row>
    <row r="13" spans="2:13" x14ac:dyDescent="0.25">
      <c r="B13" s="4"/>
      <c r="C13" s="19">
        <v>3.125E-2</v>
      </c>
      <c r="D13" s="15">
        <v>2814.3017466261194</v>
      </c>
      <c r="E13" s="15">
        <v>102574.31439270149</v>
      </c>
      <c r="F13" s="16">
        <v>621574.31439270149</v>
      </c>
      <c r="G13" s="5"/>
      <c r="H13" s="14">
        <v>9</v>
      </c>
      <c r="I13" s="15">
        <f t="shared" si="3"/>
        <v>217693.12798958173</v>
      </c>
      <c r="J13" s="15">
        <f t="shared" si="0"/>
        <v>190084.67611698504</v>
      </c>
      <c r="K13" s="15">
        <f t="shared" si="1"/>
        <v>27608.451872596692</v>
      </c>
      <c r="L13" s="16">
        <f t="shared" si="2"/>
        <v>7948.6961482941479</v>
      </c>
      <c r="M13" s="6"/>
    </row>
    <row r="14" spans="2:13" x14ac:dyDescent="0.25">
      <c r="B14" s="4"/>
      <c r="C14" s="19">
        <v>3.2500000000000001E-2</v>
      </c>
      <c r="D14" s="15">
        <v>2838.7818264363268</v>
      </c>
      <c r="E14" s="15">
        <v>106980.72875853884</v>
      </c>
      <c r="F14" s="16">
        <v>625980.72875853884</v>
      </c>
      <c r="G14" s="5"/>
      <c r="H14" s="14">
        <v>10</v>
      </c>
      <c r="I14" s="15">
        <f t="shared" si="3"/>
        <v>190084.67611698504</v>
      </c>
      <c r="J14" s="15">
        <f t="shared" si="0"/>
        <v>161387.19013815452</v>
      </c>
      <c r="K14" s="15">
        <f t="shared" si="1"/>
        <v>28697.485978830518</v>
      </c>
      <c r="L14" s="16">
        <f t="shared" si="2"/>
        <v>6859.6620420603213</v>
      </c>
      <c r="M14" s="6"/>
    </row>
    <row r="15" spans="2:13" x14ac:dyDescent="0.25">
      <c r="B15" s="4"/>
      <c r="C15" s="19">
        <v>3.3750000000000002E-2</v>
      </c>
      <c r="D15" s="15">
        <v>2863.3898185415646</v>
      </c>
      <c r="E15" s="15">
        <v>111410.16733748163</v>
      </c>
      <c r="F15" s="16">
        <v>630410.16733748163</v>
      </c>
      <c r="G15" s="5"/>
      <c r="H15" s="14">
        <v>11</v>
      </c>
      <c r="I15" s="15">
        <f t="shared" si="3"/>
        <v>161387.19013815452</v>
      </c>
      <c r="J15" s="15">
        <f t="shared" si="0"/>
        <v>131557.71236426357</v>
      </c>
      <c r="K15" s="15">
        <f t="shared" si="1"/>
        <v>29829.477773890947</v>
      </c>
      <c r="L15" s="16">
        <f t="shared" si="2"/>
        <v>5727.6702469998927</v>
      </c>
      <c r="M15" s="6"/>
    </row>
    <row r="16" spans="2:13" x14ac:dyDescent="0.25">
      <c r="B16" s="4"/>
      <c r="C16" s="19">
        <v>3.5000000000000003E-2</v>
      </c>
      <c r="D16" s="15">
        <v>2888.1254670264275</v>
      </c>
      <c r="E16" s="15">
        <v>115862.58406475693</v>
      </c>
      <c r="F16" s="16">
        <v>634862.58406475699</v>
      </c>
      <c r="G16" s="5"/>
      <c r="H16" s="14">
        <v>12</v>
      </c>
      <c r="I16" s="15">
        <f t="shared" si="3"/>
        <v>131557.71236426357</v>
      </c>
      <c r="J16" s="15">
        <f t="shared" si="0"/>
        <v>100551.59061131784</v>
      </c>
      <c r="K16" s="15">
        <f t="shared" si="1"/>
        <v>31006.121752945735</v>
      </c>
      <c r="L16" s="16">
        <f t="shared" si="2"/>
        <v>4551.0262679451043</v>
      </c>
      <c r="M16" s="6"/>
    </row>
    <row r="17" spans="2:13" x14ac:dyDescent="0.25">
      <c r="B17" s="4"/>
      <c r="C17" s="19">
        <v>3.6249999999999998E-2</v>
      </c>
      <c r="D17" s="15">
        <v>2912.9885077360127</v>
      </c>
      <c r="E17" s="15">
        <v>120337.93139248225</v>
      </c>
      <c r="F17" s="16">
        <v>639337.93139248225</v>
      </c>
      <c r="G17" s="5"/>
      <c r="H17" s="14">
        <v>13</v>
      </c>
      <c r="I17" s="15">
        <f t="shared" si="3"/>
        <v>100551.59061131784</v>
      </c>
      <c r="J17" s="15">
        <f t="shared" si="0"/>
        <v>68322.411359646212</v>
      </c>
      <c r="K17" s="15">
        <f t="shared" si="1"/>
        <v>32229.179251671623</v>
      </c>
      <c r="L17" s="16">
        <f t="shared" si="2"/>
        <v>3327.9687692192165</v>
      </c>
      <c r="M17" s="6"/>
    </row>
    <row r="18" spans="2:13" x14ac:dyDescent="0.25">
      <c r="B18" s="4"/>
      <c r="C18" s="19">
        <v>3.7499999999999999E-2</v>
      </c>
      <c r="D18" s="15">
        <v>2937.9786683415091</v>
      </c>
      <c r="E18" s="15">
        <v>124836.16030147159</v>
      </c>
      <c r="F18" s="16">
        <v>643836.16030147159</v>
      </c>
      <c r="G18" s="5"/>
      <c r="H18" s="14">
        <v>14</v>
      </c>
      <c r="I18" s="15">
        <f t="shared" si="3"/>
        <v>68322.411359646212</v>
      </c>
      <c r="J18" s="15">
        <f t="shared" si="0"/>
        <v>34821.930276819519</v>
      </c>
      <c r="K18" s="15">
        <f t="shared" si="1"/>
        <v>33500.481082826693</v>
      </c>
      <c r="L18" s="16">
        <f t="shared" si="2"/>
        <v>2056.666938064147</v>
      </c>
      <c r="M18" s="6"/>
    </row>
    <row r="19" spans="2:13" ht="14.4" thickBot="1" x14ac:dyDescent="0.3">
      <c r="B19" s="4"/>
      <c r="C19" s="19">
        <v>3.875E-2</v>
      </c>
      <c r="D19" s="15">
        <v>2963.09566840757</v>
      </c>
      <c r="E19" s="15">
        <v>129357.22031336254</v>
      </c>
      <c r="F19" s="16">
        <v>648357.22031336254</v>
      </c>
      <c r="G19" s="5"/>
      <c r="H19" s="20">
        <v>15</v>
      </c>
      <c r="I19" s="21">
        <f t="shared" si="3"/>
        <v>34821.930276819519</v>
      </c>
      <c r="J19" s="21">
        <f t="shared" si="0"/>
        <v>0</v>
      </c>
      <c r="K19" s="21">
        <f t="shared" si="1"/>
        <v>34821.930276819519</v>
      </c>
      <c r="L19" s="22">
        <f t="shared" si="2"/>
        <v>735.21774407132034</v>
      </c>
      <c r="M19" s="6"/>
    </row>
    <row r="20" spans="2:13" x14ac:dyDescent="0.25">
      <c r="B20" s="4"/>
      <c r="C20" s="19">
        <v>0.04</v>
      </c>
      <c r="D20" s="15">
        <v>2988.3392194614516</v>
      </c>
      <c r="E20" s="15">
        <v>133901.05950306135</v>
      </c>
      <c r="F20" s="16">
        <v>652901.05950306135</v>
      </c>
      <c r="G20" s="5"/>
      <c r="H20" s="5"/>
      <c r="I20" s="5"/>
      <c r="J20" s="5" t="s">
        <v>19</v>
      </c>
      <c r="K20" s="13">
        <f>SUM(K5:K19)</f>
        <v>403999.99999999994</v>
      </c>
      <c r="L20" s="13">
        <f t="shared" ref="L20" si="4">SUM(L5:L19)</f>
        <v>129357.22031336254</v>
      </c>
      <c r="M20" s="6"/>
    </row>
    <row r="21" spans="2:13" x14ac:dyDescent="0.25">
      <c r="B21" s="4"/>
      <c r="C21" s="19">
        <v>4.1250000000000002E-2</v>
      </c>
      <c r="D21" s="15">
        <v>3013.7090250638685</v>
      </c>
      <c r="E21" s="15">
        <v>138467.62451149628</v>
      </c>
      <c r="F21" s="16">
        <v>657467.62451149628</v>
      </c>
      <c r="G21" s="5"/>
      <c r="H21" s="5"/>
      <c r="I21" s="5"/>
      <c r="J21" s="5" t="s">
        <v>5</v>
      </c>
      <c r="K21" s="5"/>
      <c r="L21" s="13">
        <f>D7</f>
        <v>115000</v>
      </c>
      <c r="M21" s="6"/>
    </row>
    <row r="22" spans="2:13" ht="14.4" thickBot="1" x14ac:dyDescent="0.3">
      <c r="B22" s="4"/>
      <c r="C22" s="23">
        <v>4.2500000000000003E-2</v>
      </c>
      <c r="D22" s="21">
        <v>3039.2047808815355</v>
      </c>
      <c r="E22" s="21">
        <v>143056.86055867642</v>
      </c>
      <c r="F22" s="22">
        <v>662056.86055867642</v>
      </c>
      <c r="G22" s="5"/>
      <c r="H22" s="5"/>
      <c r="I22" s="5"/>
      <c r="J22" s="5" t="s">
        <v>11</v>
      </c>
      <c r="K22" s="5"/>
      <c r="L22" s="13">
        <f>K20 + L20 +L21</f>
        <v>648357.22031336254</v>
      </c>
      <c r="M22" s="6"/>
    </row>
    <row r="23" spans="2:13" ht="8.25" customHeight="1" thickBot="1" x14ac:dyDescent="0.3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</row>
    <row r="24" spans="2:13" ht="14.4" thickTop="1" x14ac:dyDescent="0.25"/>
    <row r="1000" spans="1:1" x14ac:dyDescent="0.25">
      <c r="A1000" t="s">
        <v>0</v>
      </c>
    </row>
  </sheetData>
  <sheetProtection sheet="1" objects="1" scenarios="1"/>
  <mergeCells count="3">
    <mergeCell ref="C3:F3"/>
    <mergeCell ref="C9:F9"/>
    <mergeCell ref="H3:L3"/>
  </mergeCells>
  <conditionalFormatting sqref="C12:C22">
    <cfRule type="cellIs" dxfId="0" priority="1" operator="equal">
      <formula>"$f$4"</formula>
    </cfRule>
  </conditionalFormatting>
  <dataValidations count="1">
    <dataValidation allowBlank="1" error="pavI8MeUFtEyxX2I4tkye1741463-7960-4b49-a718-ead1064a57a0" sqref="A1:A1000" xr:uid="{00000000-0002-0000-0000-000000000000}"/>
  </dataValidation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{e1741463-7960-4b49-a718-ead1064a57a0}</UserID>
  <AssignmentID>{e1741463-7960-4b49-a718-ead1064a57a0}</AssignmentID>
</GradingEngineProps>
</file>

<file path=customXml/itemProps1.xml><?xml version="1.0" encoding="utf-8"?>
<ds:datastoreItem xmlns:ds="http://schemas.openxmlformats.org/officeDocument/2006/customXml" ds:itemID="{081C0670-420B-4A5D-9257-2D47587C4E90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Mortgage Payment Calculator</vt:lpstr>
      <vt:lpstr>Amortization_Schedule</vt:lpstr>
      <vt:lpstr>Down_Pymt.</vt:lpstr>
      <vt:lpstr>Financial_Tools</vt:lpstr>
      <vt:lpstr>Interest_Schedule</vt:lpstr>
      <vt:lpstr>Loan_Amount</vt:lpstr>
      <vt:lpstr>Monthly_Payment</vt:lpstr>
      <vt:lpstr>Mortgage_Payment</vt:lpstr>
      <vt:lpstr>Price</vt:lpstr>
      <vt:lpstr>Rate</vt:lpstr>
      <vt:lpstr>Term</vt:lpstr>
      <vt:lpstr>Total_Cost</vt:lpstr>
      <vt:lpstr>Total_Interest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Boryczka</dc:creator>
  <cp:keywords>© 2020 Cengage Learning.</cp:keywords>
  <cp:lastModifiedBy>camerrron clarke</cp:lastModifiedBy>
  <cp:lastPrinted>2025-10-20T16:32:08Z</cp:lastPrinted>
  <dcterms:created xsi:type="dcterms:W3CDTF">2018-12-31T18:55:03Z</dcterms:created>
  <dcterms:modified xsi:type="dcterms:W3CDTF">2025-11-03T16:33:12Z</dcterms:modified>
</cp:coreProperties>
</file>